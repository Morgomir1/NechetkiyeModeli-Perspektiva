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92" yWindow="24" windowWidth="19140" windowHeight="7704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D22" i="1" l="1"/>
  <c r="E22" i="1"/>
  <c r="F22" i="1"/>
  <c r="G22" i="1"/>
  <c r="H22" i="1"/>
  <c r="I22" i="1"/>
  <c r="J22" i="1"/>
  <c r="K22" i="1"/>
  <c r="L22" i="1"/>
  <c r="M22" i="1"/>
  <c r="C22" i="1"/>
  <c r="D20" i="1"/>
  <c r="E20" i="1"/>
  <c r="F20" i="1"/>
  <c r="G20" i="1"/>
  <c r="H20" i="1"/>
  <c r="I20" i="1"/>
  <c r="J20" i="1"/>
  <c r="K20" i="1"/>
  <c r="L20" i="1"/>
  <c r="M20" i="1"/>
  <c r="D21" i="1"/>
  <c r="E21" i="1"/>
  <c r="F21" i="1"/>
  <c r="G21" i="1"/>
  <c r="H21" i="1"/>
  <c r="I21" i="1"/>
  <c r="J21" i="1"/>
  <c r="K21" i="1"/>
  <c r="L21" i="1"/>
  <c r="M21" i="1"/>
  <c r="C21" i="1"/>
  <c r="C20" i="1"/>
  <c r="Q6" i="1"/>
  <c r="S6" i="1"/>
  <c r="W6" i="1" l="1" a="1"/>
  <c r="W6" i="1"/>
  <c r="X6" i="1" a="1"/>
  <c r="X6" i="1" s="1"/>
  <c r="Y6" i="1" a="1"/>
  <c r="Y6" i="1"/>
  <c r="Z6" i="1" a="1"/>
  <c r="Z6" i="1" s="1"/>
  <c r="AA6" i="1" a="1"/>
  <c r="AA6" i="1"/>
  <c r="W8" i="1" a="1"/>
  <c r="W8" i="1" s="1"/>
  <c r="X8" i="1" a="1"/>
  <c r="X8" i="1"/>
  <c r="Y8" i="1" a="1"/>
  <c r="Y8" i="1" s="1"/>
  <c r="Z8" i="1" a="1"/>
  <c r="Z8" i="1"/>
  <c r="AA8" i="1" a="1"/>
  <c r="AA8" i="1" s="1"/>
  <c r="V8" i="1" a="1"/>
  <c r="V8" i="1" s="1"/>
  <c r="V6" i="1" a="1"/>
  <c r="V6" i="1" s="1"/>
  <c r="T12" i="1" a="1"/>
  <c r="T12" i="1" s="1"/>
  <c r="T9" i="1" a="1"/>
  <c r="T9" i="1" s="1"/>
  <c r="T7" i="1" a="1"/>
  <c r="T7" i="1" s="1"/>
  <c r="T6" i="1" a="1"/>
  <c r="T6" i="1" s="1"/>
  <c r="S7" i="1"/>
  <c r="S8" i="1"/>
  <c r="S9" i="1"/>
  <c r="S10" i="1"/>
  <c r="S11" i="1"/>
  <c r="S12" i="1"/>
  <c r="S13" i="1"/>
  <c r="S14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R6" i="1"/>
  <c r="L8" i="1"/>
  <c r="M8" i="1"/>
  <c r="N8" i="1"/>
  <c r="O8" i="1"/>
  <c r="P8" i="1"/>
  <c r="L9" i="1"/>
  <c r="M9" i="1"/>
  <c r="N9" i="1"/>
  <c r="O9" i="1"/>
  <c r="P9" i="1"/>
  <c r="L10" i="1"/>
  <c r="M10" i="1"/>
  <c r="N10" i="1"/>
  <c r="O10" i="1"/>
  <c r="P10" i="1"/>
  <c r="L11" i="1"/>
  <c r="M11" i="1"/>
  <c r="N11" i="1"/>
  <c r="O11" i="1"/>
  <c r="P11" i="1"/>
  <c r="L12" i="1"/>
  <c r="M12" i="1"/>
  <c r="N12" i="1"/>
  <c r="O12" i="1"/>
  <c r="P12" i="1"/>
  <c r="L13" i="1"/>
  <c r="M13" i="1"/>
  <c r="N13" i="1"/>
  <c r="O13" i="1"/>
  <c r="P13" i="1"/>
  <c r="L14" i="1"/>
  <c r="M14" i="1"/>
  <c r="N14" i="1"/>
  <c r="O14" i="1"/>
  <c r="P14" i="1"/>
  <c r="K14" i="1"/>
  <c r="K13" i="1"/>
  <c r="K12" i="1"/>
  <c r="K11" i="1"/>
  <c r="K10" i="1"/>
  <c r="K9" i="1"/>
  <c r="K8" i="1"/>
  <c r="L7" i="1"/>
  <c r="M7" i="1"/>
  <c r="N7" i="1"/>
  <c r="O7" i="1"/>
  <c r="P7" i="1"/>
  <c r="K7" i="1"/>
  <c r="L6" i="1"/>
  <c r="M6" i="1"/>
  <c r="N6" i="1"/>
  <c r="O6" i="1"/>
  <c r="P6" i="1"/>
  <c r="K6" i="1"/>
  <c r="D14" i="1"/>
  <c r="E14" i="1"/>
  <c r="F14" i="1"/>
  <c r="G14" i="1"/>
  <c r="H14" i="1"/>
  <c r="D15" i="1"/>
  <c r="F15" i="1"/>
  <c r="G15" i="1"/>
  <c r="H15" i="1"/>
  <c r="C15" i="1"/>
  <c r="C14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C11" i="1"/>
  <c r="C10" i="1"/>
  <c r="C9" i="1"/>
  <c r="C8" i="1"/>
  <c r="C7" i="1"/>
  <c r="C6" i="1"/>
  <c r="D6" i="1"/>
  <c r="E6" i="1"/>
  <c r="F6" i="1"/>
  <c r="G6" i="1"/>
  <c r="H6" i="1"/>
  <c r="D7" i="1"/>
  <c r="E7" i="1"/>
  <c r="F7" i="1"/>
  <c r="G7" i="1"/>
  <c r="H7" i="1"/>
  <c r="D8" i="1"/>
  <c r="E8" i="1"/>
  <c r="F8" i="1"/>
  <c r="G8" i="1"/>
  <c r="H8" i="1"/>
</calcChain>
</file>

<file path=xl/sharedStrings.xml><?xml version="1.0" encoding="utf-8"?>
<sst xmlns="http://schemas.openxmlformats.org/spreadsheetml/2006/main" count="38" uniqueCount="32">
  <si>
    <t>x</t>
  </si>
  <si>
    <t>Малое</t>
  </si>
  <si>
    <t xml:space="preserve">Среднее </t>
  </si>
  <si>
    <t>Большое</t>
  </si>
  <si>
    <t>x1</t>
  </si>
  <si>
    <t>x2</t>
  </si>
  <si>
    <t>Класс</t>
  </si>
  <si>
    <t>(S,S)</t>
  </si>
  <si>
    <t>L</t>
  </si>
  <si>
    <t>(S,M)</t>
  </si>
  <si>
    <t>(S,L)</t>
  </si>
  <si>
    <t>(M,S)</t>
  </si>
  <si>
    <t>(M,M)</t>
  </si>
  <si>
    <t>(M,L)</t>
  </si>
  <si>
    <t>(L,S)</t>
  </si>
  <si>
    <t>(L,M)</t>
  </si>
  <si>
    <t>(L,L)</t>
  </si>
  <si>
    <r>
      <rPr>
        <sz val="11"/>
        <color theme="1"/>
        <rFont val="Calibri"/>
        <family val="2"/>
        <charset val="204"/>
      </rPr>
      <t>β</t>
    </r>
    <r>
      <rPr>
        <vertAlign val="superscript"/>
        <sz val="11"/>
        <color theme="1"/>
        <rFont val="Calibri"/>
        <family val="2"/>
        <charset val="204"/>
      </rPr>
      <t>1</t>
    </r>
  </si>
  <si>
    <r>
      <rPr>
        <sz val="11"/>
        <color theme="1"/>
        <rFont val="Calibri"/>
        <family val="2"/>
        <charset val="204"/>
      </rPr>
      <t>β</t>
    </r>
    <r>
      <rPr>
        <vertAlign val="superscript"/>
        <sz val="11"/>
        <color theme="1"/>
        <rFont val="Calibri"/>
        <family val="2"/>
        <charset val="204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</si>
  <si>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t>cp</t>
  </si>
  <si>
    <t>первый атрибут</t>
  </si>
  <si>
    <t>второй атрибут</t>
  </si>
  <si>
    <t>Наблюдаемые значения атрибутов</t>
  </si>
  <si>
    <t>Наблюдаемые значения классов</t>
  </si>
  <si>
    <t>Максимальные принадлежности к градациям</t>
  </si>
  <si>
    <t>Функции принадлжености атрибутов градациям S, M, L</t>
  </si>
  <si>
    <t>S</t>
  </si>
  <si>
    <t>M</t>
  </si>
  <si>
    <t>Класы</t>
  </si>
  <si>
    <t>Принадлежность наблюдений классам</t>
  </si>
  <si>
    <t>классу 1</t>
  </si>
  <si>
    <t>классу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</si>
</sst>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00"/>
  </numFmts>
  <fonts count="4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 wrapText="1"/>
    </xf>
    <xf numFmtId="0" fontId="0" fillId="0" borderId="6" xfId="0" applyBorder="1"/>
    <xf numFmtId="0" fontId="0" fillId="0" borderId="7" xfId="0" applyBorder="1" applyAlignment="1">
      <alignment horizont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 wrapText="1"/>
    </xf>
    <xf numFmtId="0" fontId="0" fillId="0" borderId="11" xfId="0" applyBorder="1"/>
    <xf numFmtId="0" fontId="0" fillId="0" borderId="12" xfId="0" applyBorder="1"/>
    <xf numFmtId="0" fontId="0" fillId="0" borderId="14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8" xfId="0" applyFill="1" applyBorder="1"/>
    <xf numFmtId="0" fontId="0" fillId="0" borderId="18" xfId="0" applyBorder="1"/>
    <xf numFmtId="0" fontId="0" fillId="0" borderId="19" xfId="0" applyBorder="1"/>
    <xf numFmtId="0" fontId="0" fillId="0" borderId="17" xfId="0" applyBorder="1" applyAlignment="1">
      <alignment wrapText="1"/>
    </xf>
    <xf numFmtId="0" fontId="0" fillId="0" borderId="14" xfId="0" applyBorder="1"/>
    <xf numFmtId="0" fontId="0" fillId="0" borderId="13" xfId="0" applyBorder="1"/>
    <xf numFmtId="0" fontId="0" fillId="0" borderId="20" xfId="0" applyBorder="1"/>
    <xf numFmtId="0" fontId="0" fillId="0" borderId="16" xfId="0" applyBorder="1"/>
    <xf numFmtId="0" fontId="0" fillId="0" borderId="0" xfId="0" applyBorder="1"/>
    <xf numFmtId="0" fontId="0" fillId="0" borderId="21" xfId="0" applyBorder="1"/>
    <xf numFmtId="0" fontId="0" fillId="0" borderId="15" xfId="0" applyBorder="1"/>
    <xf numFmtId="0" fontId="0" fillId="0" borderId="22" xfId="0" applyBorder="1"/>
    <xf numFmtId="0" fontId="0" fillId="0" borderId="23" xfId="0" applyBorder="1"/>
    <xf numFmtId="0" fontId="2" fillId="0" borderId="1" xfId="0" applyFont="1" applyBorder="1"/>
    <xf numFmtId="0" fontId="0" fillId="2" borderId="1" xfId="0" applyFill="1" applyBorder="1"/>
    <xf numFmtId="166" fontId="1" fillId="0" borderId="1" xfId="0" applyNumberFormat="1" applyFont="1" applyBorder="1"/>
    <xf numFmtId="166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v>M</c:v>
          </c:tx>
          <c:marker>
            <c:symbol val="none"/>
          </c:marker>
          <c:xVal>
            <c:numRef>
              <c:f>Лист1!$C$19:$M$19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Лист1!$C$21:$M$21</c:f>
              <c:numCache>
                <c:formatCode>General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0.8</c:v>
                </c:pt>
                <c:pt idx="7">
                  <c:v>0.60000000000000009</c:v>
                </c:pt>
                <c:pt idx="8">
                  <c:v>0.39999999999999991</c:v>
                </c:pt>
                <c:pt idx="9">
                  <c:v>0.19999999999999996</c:v>
                </c:pt>
                <c:pt idx="1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7264"/>
        <c:axId val="17306688"/>
      </c:scatterChart>
      <c:scatterChart>
        <c:scatterStyle val="smoothMarker"/>
        <c:varyColors val="0"/>
        <c:ser>
          <c:idx val="0"/>
          <c:order val="0"/>
          <c:tx>
            <c:v>S</c:v>
          </c:tx>
          <c:marker>
            <c:symbol val="none"/>
          </c:marker>
          <c:xVal>
            <c:numRef>
              <c:f>Лист1!$C$19:$M$19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Лист1!$C$20:$M$20</c:f>
              <c:numCache>
                <c:formatCode>General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0.30000000000000004</c:v>
                </c:pt>
                <c:pt idx="8">
                  <c:v>0.19999999999999996</c:v>
                </c:pt>
                <c:pt idx="9">
                  <c:v>9.9999999999999978E-2</c:v>
                </c:pt>
                <c:pt idx="10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v>L</c:v>
          </c:tx>
          <c:marker>
            <c:symbol val="none"/>
          </c:marker>
          <c:xVal>
            <c:numRef>
              <c:f>Лист1!$C$19:$M$19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Лист1!$C$22:$M$22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7264"/>
        <c:axId val="17306688"/>
      </c:scatterChart>
      <c:valAx>
        <c:axId val="1730726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7306688"/>
        <c:crosses val="autoZero"/>
        <c:crossBetween val="midCat"/>
      </c:valAx>
      <c:valAx>
        <c:axId val="17306688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072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 класс</c:v>
          </c:tx>
          <c:spPr>
            <a:ln w="28575">
              <a:noFill/>
            </a:ln>
          </c:spPr>
          <c:xVal>
            <c:numRef>
              <c:f>Лист1!$C$12:$E$12</c:f>
              <c:numCache>
                <c:formatCode>General</c:formatCode>
                <c:ptCount val="3"/>
                <c:pt idx="0">
                  <c:v>0.3</c:v>
                </c:pt>
                <c:pt idx="1">
                  <c:v>0.6</c:v>
                </c:pt>
                <c:pt idx="2">
                  <c:v>0.3</c:v>
                </c:pt>
              </c:numCache>
            </c:numRef>
          </c:xVal>
          <c:yVal>
            <c:numRef>
              <c:f>Лист1!$C$13:$E$13</c:f>
              <c:numCache>
                <c:formatCode>General</c:formatCode>
                <c:ptCount val="3"/>
                <c:pt idx="0">
                  <c:v>0.5</c:v>
                </c:pt>
                <c:pt idx="1">
                  <c:v>0.6</c:v>
                </c:pt>
                <c:pt idx="2">
                  <c:v>0.8</c:v>
                </c:pt>
              </c:numCache>
            </c:numRef>
          </c:yVal>
          <c:smooth val="0"/>
        </c:ser>
        <c:ser>
          <c:idx val="1"/>
          <c:order val="1"/>
          <c:tx>
            <c:v>2 класс</c:v>
          </c:tx>
          <c:spPr>
            <a:ln w="28575">
              <a:noFill/>
            </a:ln>
          </c:spPr>
          <c:xVal>
            <c:numRef>
              <c:f>Лист1!$F$12:$H$12</c:f>
              <c:numCache>
                <c:formatCode>General</c:formatCode>
                <c:ptCount val="3"/>
                <c:pt idx="0">
                  <c:v>0.1</c:v>
                </c:pt>
                <c:pt idx="1">
                  <c:v>0.5</c:v>
                </c:pt>
                <c:pt idx="2">
                  <c:v>0.2</c:v>
                </c:pt>
              </c:numCache>
            </c:numRef>
          </c:xVal>
          <c:yVal>
            <c:numRef>
              <c:f>Лист1!$F$13:$H$13</c:f>
              <c:numCache>
                <c:formatCode>General</c:formatCode>
                <c:ptCount val="3"/>
                <c:pt idx="0">
                  <c:v>0.6</c:v>
                </c:pt>
                <c:pt idx="1">
                  <c:v>0.3</c:v>
                </c:pt>
                <c:pt idx="2">
                  <c:v>0.3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000576"/>
        <c:axId val="386998272"/>
      </c:scatterChart>
      <c:valAx>
        <c:axId val="38700057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386998272"/>
        <c:crosses val="autoZero"/>
        <c:crossBetween val="midCat"/>
      </c:valAx>
      <c:valAx>
        <c:axId val="386998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70005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22</xdr:row>
      <xdr:rowOff>110490</xdr:rowOff>
    </xdr:from>
    <xdr:to>
      <xdr:col>9</xdr:col>
      <xdr:colOff>541020</xdr:colOff>
      <xdr:row>37</xdr:row>
      <xdr:rowOff>110490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586740</xdr:colOff>
      <xdr:row>14</xdr:row>
      <xdr:rowOff>156210</xdr:rowOff>
    </xdr:from>
    <xdr:to>
      <xdr:col>21</xdr:col>
      <xdr:colOff>281940</xdr:colOff>
      <xdr:row>26</xdr:row>
      <xdr:rowOff>41910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A22"/>
  <sheetViews>
    <sheetView tabSelected="1" topLeftCell="A16" workbookViewId="0">
      <selection activeCell="K37" sqref="K37"/>
    </sheetView>
  </sheetViews>
  <sheetFormatPr defaultRowHeight="14.4" x14ac:dyDescent="0.3"/>
  <cols>
    <col min="1" max="1" width="15.6640625" customWidth="1"/>
  </cols>
  <sheetData>
    <row r="4" spans="1:27" x14ac:dyDescent="0.3">
      <c r="K4" s="2" t="s">
        <v>28</v>
      </c>
      <c r="L4" s="2"/>
      <c r="M4" s="2"/>
      <c r="N4" s="2"/>
      <c r="O4" s="2"/>
      <c r="P4" s="2"/>
      <c r="U4" t="s">
        <v>29</v>
      </c>
    </row>
    <row r="5" spans="1:27" ht="16.8" thickBot="1" x14ac:dyDescent="0.35">
      <c r="J5" s="1"/>
      <c r="K5" s="1">
        <v>1</v>
      </c>
      <c r="L5" s="1">
        <v>1</v>
      </c>
      <c r="M5" s="1">
        <v>1</v>
      </c>
      <c r="N5" s="1">
        <v>2</v>
      </c>
      <c r="O5" s="1">
        <v>2</v>
      </c>
      <c r="P5" s="1">
        <v>2</v>
      </c>
      <c r="Q5" s="29" t="s">
        <v>17</v>
      </c>
      <c r="R5" s="29" t="s">
        <v>18</v>
      </c>
      <c r="S5" s="1" t="s">
        <v>19</v>
      </c>
      <c r="U5" s="1" t="s">
        <v>30</v>
      </c>
      <c r="V5" s="1">
        <v>1</v>
      </c>
      <c r="W5" s="1">
        <v>2</v>
      </c>
      <c r="X5" s="1">
        <v>3</v>
      </c>
      <c r="Y5" s="1">
        <v>4</v>
      </c>
      <c r="Z5" s="1">
        <v>5</v>
      </c>
      <c r="AA5" s="1">
        <v>6</v>
      </c>
    </row>
    <row r="6" spans="1:27" x14ac:dyDescent="0.3">
      <c r="A6" s="3" t="s">
        <v>20</v>
      </c>
      <c r="B6" s="4" t="s">
        <v>1</v>
      </c>
      <c r="C6" s="4">
        <f>IF(AND(C12&gt;=0,C12&lt;=1),1-C12,0)</f>
        <v>0.7</v>
      </c>
      <c r="D6" s="4">
        <f t="shared" ref="D6:H6" si="0">IF(AND(D12&gt;=0,D12&lt;=1),1-D12,0)</f>
        <v>0.4</v>
      </c>
      <c r="E6" s="4">
        <f t="shared" si="0"/>
        <v>0.7</v>
      </c>
      <c r="F6" s="4">
        <f t="shared" si="0"/>
        <v>0.9</v>
      </c>
      <c r="G6" s="4">
        <f t="shared" si="0"/>
        <v>0.5</v>
      </c>
      <c r="H6" s="5">
        <f t="shared" si="0"/>
        <v>0.8</v>
      </c>
      <c r="J6" s="1" t="s">
        <v>7</v>
      </c>
      <c r="K6" s="1">
        <f>C6*C9</f>
        <v>0.35</v>
      </c>
      <c r="L6" s="1">
        <f t="shared" ref="L6:P6" si="1">D6*D9</f>
        <v>0.16000000000000003</v>
      </c>
      <c r="M6" s="1">
        <f t="shared" si="1"/>
        <v>0.13999999999999996</v>
      </c>
      <c r="N6" s="1">
        <f t="shared" si="1"/>
        <v>0.36000000000000004</v>
      </c>
      <c r="O6" s="1">
        <f t="shared" si="1"/>
        <v>0.35</v>
      </c>
      <c r="P6" s="1">
        <f t="shared" si="1"/>
        <v>0.55999999999999994</v>
      </c>
      <c r="Q6" s="1">
        <f>SUM(K6:M6)</f>
        <v>0.64999999999999991</v>
      </c>
      <c r="R6" s="30">
        <f>SUM(N6:P6)</f>
        <v>1.27</v>
      </c>
      <c r="S6" s="31">
        <f>ABS(Q6-R6)/ABS(Q6+R6)</f>
        <v>0.32291666666666674</v>
      </c>
      <c r="T6">
        <f t="array" ref="T6">MAX(N6:P6*S6)</f>
        <v>0.18083333333333335</v>
      </c>
      <c r="U6" s="1"/>
      <c r="V6" s="1">
        <f t="array" ref="V6">MAX(K8,K10:K11,K13:K14*$S8,$S10:$S11,$S13:$S14)</f>
        <v>0.6</v>
      </c>
      <c r="W6" s="1">
        <f t="array" ref="W6">MAX(L8,L10:L11,L13:L14*$S8,$S10:$S11,$S13:$S14)</f>
        <v>0.64000000000000012</v>
      </c>
      <c r="X6" s="1">
        <f t="array" ref="X6">MAX(M8,M10:M11,M13:M14*$S8,$S10:$S11,$S13:$S14)</f>
        <v>0.55999999999999994</v>
      </c>
      <c r="Y6" s="1">
        <f t="array" ref="Y6">MAX(N8,N10:N11,N13:N14*$S8,$S10:$S11,$S13:$S14)</f>
        <v>0.54</v>
      </c>
      <c r="Z6" s="1">
        <f t="array" ref="Z6">MAX(O8,O10:O11,O13:O14*$S8,$S10:$S11,$S13:$S14)</f>
        <v>0.6</v>
      </c>
      <c r="AA6" s="1">
        <f t="array" ref="AA6">MAX(P8,P10:P11,P13:P14*$S8,$S10:$S11,$S13:$S14)</f>
        <v>0.47058823529411764</v>
      </c>
    </row>
    <row r="7" spans="1:27" x14ac:dyDescent="0.3">
      <c r="A7" s="6"/>
      <c r="B7" s="1" t="s">
        <v>2</v>
      </c>
      <c r="C7" s="1">
        <f>IF(AND(C12&lt;=0.5,C12&gt;=0),(C12)/0.5,IF(AND(C12&gt;=0,C12&lt;=1),(1-C12)/0.5,0))</f>
        <v>0.6</v>
      </c>
      <c r="D7" s="1">
        <f t="shared" ref="D7:H7" si="2">IF(AND(D12&lt;=0.5,D12&gt;=0),(D12)/0.5,IF(AND(D12&gt;=0,D12&lt;=1),(1-D12)/0.5,0))</f>
        <v>0.8</v>
      </c>
      <c r="E7" s="1">
        <f t="shared" si="2"/>
        <v>0.6</v>
      </c>
      <c r="F7" s="1">
        <f t="shared" si="2"/>
        <v>0.2</v>
      </c>
      <c r="G7" s="1">
        <f t="shared" si="2"/>
        <v>1</v>
      </c>
      <c r="H7" s="7">
        <f t="shared" si="2"/>
        <v>0.4</v>
      </c>
      <c r="J7" s="1" t="s">
        <v>9</v>
      </c>
      <c r="K7" s="1">
        <f>C6*C10</f>
        <v>0.7</v>
      </c>
      <c r="L7" s="1">
        <f t="shared" ref="L7:P7" si="3">D6*D10</f>
        <v>0.32000000000000006</v>
      </c>
      <c r="M7" s="1">
        <f t="shared" si="3"/>
        <v>0.27999999999999992</v>
      </c>
      <c r="N7" s="1">
        <f t="shared" si="3"/>
        <v>0.72000000000000008</v>
      </c>
      <c r="O7" s="1">
        <f t="shared" si="3"/>
        <v>0.3</v>
      </c>
      <c r="P7" s="1">
        <f t="shared" si="3"/>
        <v>0.48</v>
      </c>
      <c r="Q7" s="1">
        <f t="shared" ref="Q7:Q14" si="4">SUM(K7:M7)</f>
        <v>1.2999999999999998</v>
      </c>
      <c r="R7" s="30">
        <f t="shared" ref="R7:R14" si="5">SUM(N7:P7)</f>
        <v>1.5</v>
      </c>
      <c r="S7" s="32">
        <f t="shared" ref="S7:S14" si="6">ABS(Q7-R7)/ABS(Q7+R7)</f>
        <v>7.1428571428571494E-2</v>
      </c>
      <c r="T7">
        <f t="array" ref="T7">MAX(N7:P7*S7)</f>
        <v>5.1428571428571483E-2</v>
      </c>
      <c r="U7" s="1" t="s">
        <v>31</v>
      </c>
      <c r="V7" s="1">
        <v>1</v>
      </c>
      <c r="W7" s="1">
        <v>2</v>
      </c>
      <c r="X7" s="1">
        <v>3</v>
      </c>
      <c r="Y7" s="1">
        <v>4</v>
      </c>
      <c r="Z7" s="1">
        <v>5</v>
      </c>
      <c r="AA7" s="1">
        <v>6</v>
      </c>
    </row>
    <row r="8" spans="1:27" ht="15" thickBot="1" x14ac:dyDescent="0.35">
      <c r="A8" s="11"/>
      <c r="B8" s="12" t="s">
        <v>3</v>
      </c>
      <c r="C8" s="12">
        <f>IF(OR(C12&gt;=1,C12&lt;=0),0,C12)</f>
        <v>0.3</v>
      </c>
      <c r="D8" s="12">
        <f t="shared" ref="D8:H8" si="7">IF(OR(D12&gt;=1,D12&lt;=0),0,D12)</f>
        <v>0.6</v>
      </c>
      <c r="E8" s="12">
        <f t="shared" si="7"/>
        <v>0.3</v>
      </c>
      <c r="F8" s="12">
        <f t="shared" si="7"/>
        <v>0.1</v>
      </c>
      <c r="G8" s="12">
        <f t="shared" si="7"/>
        <v>0.5</v>
      </c>
      <c r="H8" s="13">
        <f t="shared" si="7"/>
        <v>0.2</v>
      </c>
      <c r="J8" s="1" t="s">
        <v>10</v>
      </c>
      <c r="K8" s="1">
        <f>C6*C11</f>
        <v>0.35</v>
      </c>
      <c r="L8" s="1">
        <f t="shared" ref="L8:P8" si="8">D6*D11</f>
        <v>0.24</v>
      </c>
      <c r="M8" s="1">
        <f t="shared" si="8"/>
        <v>0.55999999999999994</v>
      </c>
      <c r="N8" s="1">
        <f t="shared" si="8"/>
        <v>0.54</v>
      </c>
      <c r="O8" s="1">
        <f t="shared" si="8"/>
        <v>0.15</v>
      </c>
      <c r="P8" s="1">
        <f t="shared" si="8"/>
        <v>0.24</v>
      </c>
      <c r="Q8" s="30">
        <f t="shared" si="4"/>
        <v>1.1499999999999999</v>
      </c>
      <c r="R8" s="1">
        <f t="shared" si="5"/>
        <v>0.93</v>
      </c>
      <c r="S8" s="32">
        <f t="shared" si="6"/>
        <v>0.1057692307692307</v>
      </c>
      <c r="U8" s="1"/>
      <c r="V8" s="1">
        <f t="array" ref="V8">MAX(K6:K7,K9,K12*$S6:$S7,$S9,$S12)</f>
        <v>0.7</v>
      </c>
      <c r="W8" s="1">
        <f t="array" ref="W8">MAX(L6:L7,L9,L12*$S6:$S7,$S9,$S12)</f>
        <v>0.32000000000000006</v>
      </c>
      <c r="X8" s="1">
        <f t="array" ref="X8">MAX(M6:M7,M9,M12*$S6:$S7,$S9,$S12)</f>
        <v>0.27999999999999992</v>
      </c>
      <c r="Y8" s="1">
        <f t="array" ref="Y8">MAX(N6:N7,N9,N12*$S6:$S7,$S9,$S12)</f>
        <v>0.72000000000000008</v>
      </c>
      <c r="Z8" s="1">
        <f t="array" ref="Z8">MAX(O6:O7,O9,O12*$S6:$S7,$S9,$S12)</f>
        <v>0.7</v>
      </c>
      <c r="AA8" s="1">
        <f t="array" ref="AA8">MAX(P6:P7,P9,P12*$S6:$S7,$S9,$S12)</f>
        <v>0.55999999999999994</v>
      </c>
    </row>
    <row r="9" spans="1:27" x14ac:dyDescent="0.3">
      <c r="A9" s="3" t="s">
        <v>21</v>
      </c>
      <c r="B9" s="4" t="s">
        <v>1</v>
      </c>
      <c r="C9" s="4">
        <f>IF(AND(C13&gt;=0,C13&lt;=1),1-C13,0)</f>
        <v>0.5</v>
      </c>
      <c r="D9" s="4">
        <f t="shared" ref="D9:H9" si="9">IF(AND(D13&gt;=0,D13&lt;=1),1-D13,0)</f>
        <v>0.4</v>
      </c>
      <c r="E9" s="4">
        <f t="shared" si="9"/>
        <v>0.19999999999999996</v>
      </c>
      <c r="F9" s="4">
        <f t="shared" si="9"/>
        <v>0.4</v>
      </c>
      <c r="G9" s="4">
        <f t="shared" si="9"/>
        <v>0.7</v>
      </c>
      <c r="H9" s="5">
        <f t="shared" si="9"/>
        <v>0.7</v>
      </c>
      <c r="J9" s="1" t="s">
        <v>11</v>
      </c>
      <c r="K9" s="1">
        <f>C7*C9</f>
        <v>0.3</v>
      </c>
      <c r="L9" s="1">
        <f t="shared" ref="L9:P9" si="10">D7*D9</f>
        <v>0.32000000000000006</v>
      </c>
      <c r="M9" s="1">
        <f t="shared" si="10"/>
        <v>0.11999999999999997</v>
      </c>
      <c r="N9" s="1">
        <f t="shared" si="10"/>
        <v>8.0000000000000016E-2</v>
      </c>
      <c r="O9" s="1">
        <f t="shared" si="10"/>
        <v>0.7</v>
      </c>
      <c r="P9" s="1">
        <f t="shared" si="10"/>
        <v>0.27999999999999997</v>
      </c>
      <c r="Q9" s="1">
        <f t="shared" si="4"/>
        <v>0.7400000000000001</v>
      </c>
      <c r="R9" s="30">
        <f t="shared" si="5"/>
        <v>1.06</v>
      </c>
      <c r="S9" s="32">
        <f t="shared" si="6"/>
        <v>0.17777777777777773</v>
      </c>
      <c r="T9">
        <f t="array" ref="T9">MAX(N9:P9*S9)</f>
        <v>0.1244444444444444</v>
      </c>
    </row>
    <row r="10" spans="1:27" x14ac:dyDescent="0.3">
      <c r="A10" s="6"/>
      <c r="B10" s="1" t="s">
        <v>2</v>
      </c>
      <c r="C10" s="1">
        <f>IF(AND(C13&lt;=0.5,C13&gt;=0),(C13)/0.5,IF(AND(C13&gt;=0,C13&lt;=1),(1-C13)/0.5,0))</f>
        <v>1</v>
      </c>
      <c r="D10" s="1">
        <f t="shared" ref="D10:H10" si="11">IF(AND(D13&lt;=0.5,D13&gt;=0),(D13)/0.5,IF(AND(D13&gt;=0,D13&lt;=1),(1-D13)/0.5,0))</f>
        <v>0.8</v>
      </c>
      <c r="E10" s="1">
        <f t="shared" si="11"/>
        <v>0.39999999999999991</v>
      </c>
      <c r="F10" s="1">
        <f t="shared" si="11"/>
        <v>0.8</v>
      </c>
      <c r="G10" s="1">
        <f t="shared" si="11"/>
        <v>0.6</v>
      </c>
      <c r="H10" s="7">
        <f t="shared" si="11"/>
        <v>0.6</v>
      </c>
      <c r="J10" s="1" t="s">
        <v>12</v>
      </c>
      <c r="K10" s="1">
        <f>C7*C10</f>
        <v>0.6</v>
      </c>
      <c r="L10" s="1">
        <f t="shared" ref="L10:P10" si="12">D7*D10</f>
        <v>0.64000000000000012</v>
      </c>
      <c r="M10" s="1">
        <f t="shared" si="12"/>
        <v>0.23999999999999994</v>
      </c>
      <c r="N10" s="1">
        <f t="shared" si="12"/>
        <v>0.16000000000000003</v>
      </c>
      <c r="O10" s="1">
        <f t="shared" si="12"/>
        <v>0.6</v>
      </c>
      <c r="P10" s="1">
        <f t="shared" si="12"/>
        <v>0.24</v>
      </c>
      <c r="Q10" s="30">
        <f t="shared" si="4"/>
        <v>1.4800000000000002</v>
      </c>
      <c r="R10" s="1">
        <f t="shared" si="5"/>
        <v>1</v>
      </c>
      <c r="S10" s="32">
        <f t="shared" si="6"/>
        <v>0.19354838709677424</v>
      </c>
    </row>
    <row r="11" spans="1:27" ht="15" thickBot="1" x14ac:dyDescent="0.35">
      <c r="A11" s="11"/>
      <c r="B11" s="12" t="s">
        <v>3</v>
      </c>
      <c r="C11" s="12">
        <f>IF(OR(C13&gt;=1,C13&lt;=0),0,C13)</f>
        <v>0.5</v>
      </c>
      <c r="D11" s="12">
        <f t="shared" ref="D11:H11" si="13">IF(OR(D13&gt;=1,D13&lt;=0),0,D13)</f>
        <v>0.6</v>
      </c>
      <c r="E11" s="12">
        <f t="shared" si="13"/>
        <v>0.8</v>
      </c>
      <c r="F11" s="12">
        <f t="shared" si="13"/>
        <v>0.6</v>
      </c>
      <c r="G11" s="12">
        <f t="shared" si="13"/>
        <v>0.3</v>
      </c>
      <c r="H11" s="13">
        <f t="shared" si="13"/>
        <v>0.3</v>
      </c>
      <c r="J11" s="1" t="s">
        <v>13</v>
      </c>
      <c r="K11" s="1">
        <f>C7*C11</f>
        <v>0.3</v>
      </c>
      <c r="L11" s="1">
        <f t="shared" ref="L11:P11" si="14">D7*D11</f>
        <v>0.48</v>
      </c>
      <c r="M11" s="1">
        <f t="shared" si="14"/>
        <v>0.48</v>
      </c>
      <c r="N11" s="1">
        <f t="shared" si="14"/>
        <v>0.12</v>
      </c>
      <c r="O11" s="1">
        <f t="shared" si="14"/>
        <v>0.3</v>
      </c>
      <c r="P11" s="1">
        <f t="shared" si="14"/>
        <v>0.12</v>
      </c>
      <c r="Q11" s="30">
        <f t="shared" si="4"/>
        <v>1.26</v>
      </c>
      <c r="R11" s="1">
        <f t="shared" si="5"/>
        <v>0.54</v>
      </c>
      <c r="S11" s="31">
        <f t="shared" si="6"/>
        <v>0.39999999999999997</v>
      </c>
    </row>
    <row r="12" spans="1:27" ht="86.4" customHeight="1" x14ac:dyDescent="0.3">
      <c r="A12" s="3" t="s">
        <v>22</v>
      </c>
      <c r="B12" s="4" t="s">
        <v>4</v>
      </c>
      <c r="C12" s="4">
        <v>0.3</v>
      </c>
      <c r="D12" s="4">
        <v>0.6</v>
      </c>
      <c r="E12" s="4">
        <v>0.3</v>
      </c>
      <c r="F12" s="4">
        <v>0.1</v>
      </c>
      <c r="G12" s="4">
        <v>0.5</v>
      </c>
      <c r="H12" s="5">
        <v>0.2</v>
      </c>
      <c r="J12" s="1" t="s">
        <v>14</v>
      </c>
      <c r="K12" s="1">
        <f>C8*C9</f>
        <v>0.15</v>
      </c>
      <c r="L12" s="1">
        <f t="shared" ref="L12:P12" si="15">D8*D9</f>
        <v>0.24</v>
      </c>
      <c r="M12" s="1">
        <f t="shared" si="15"/>
        <v>5.9999999999999984E-2</v>
      </c>
      <c r="N12" s="1">
        <f t="shared" si="15"/>
        <v>4.0000000000000008E-2</v>
      </c>
      <c r="O12" s="1">
        <f t="shared" si="15"/>
        <v>0.35</v>
      </c>
      <c r="P12" s="1">
        <f t="shared" si="15"/>
        <v>0.13999999999999999</v>
      </c>
      <c r="Q12" s="1">
        <f t="shared" si="4"/>
        <v>0.45</v>
      </c>
      <c r="R12" s="30">
        <f t="shared" si="5"/>
        <v>0.53</v>
      </c>
      <c r="S12" s="32">
        <f t="shared" si="6"/>
        <v>8.1632653061224511E-2</v>
      </c>
      <c r="T12">
        <f t="array" ref="T12">MAX(N12:P12*S12)</f>
        <v>2.8571428571428577E-2</v>
      </c>
    </row>
    <row r="13" spans="1:27" ht="15" thickBot="1" x14ac:dyDescent="0.35">
      <c r="A13" s="8"/>
      <c r="B13" s="9" t="s">
        <v>5</v>
      </c>
      <c r="C13" s="9">
        <v>0.5</v>
      </c>
      <c r="D13" s="9">
        <v>0.6</v>
      </c>
      <c r="E13" s="9">
        <v>0.8</v>
      </c>
      <c r="F13" s="9">
        <v>0.6</v>
      </c>
      <c r="G13" s="9">
        <v>0.3</v>
      </c>
      <c r="H13" s="10">
        <v>0.3</v>
      </c>
      <c r="J13" s="1" t="s">
        <v>15</v>
      </c>
      <c r="K13" s="1">
        <f>C8*C10</f>
        <v>0.3</v>
      </c>
      <c r="L13" s="1">
        <f t="shared" ref="L13:P13" si="16">D8*D10</f>
        <v>0.48</v>
      </c>
      <c r="M13" s="1">
        <f t="shared" si="16"/>
        <v>0.11999999999999997</v>
      </c>
      <c r="N13" s="1">
        <f t="shared" si="16"/>
        <v>8.0000000000000016E-2</v>
      </c>
      <c r="O13" s="1">
        <f t="shared" si="16"/>
        <v>0.3</v>
      </c>
      <c r="P13" s="1">
        <f t="shared" si="16"/>
        <v>0.12</v>
      </c>
      <c r="Q13" s="30">
        <f t="shared" si="4"/>
        <v>0.9</v>
      </c>
      <c r="R13" s="1">
        <f t="shared" si="5"/>
        <v>0.5</v>
      </c>
      <c r="S13" s="31">
        <f t="shared" si="6"/>
        <v>0.28571428571428575</v>
      </c>
    </row>
    <row r="14" spans="1:27" ht="34.200000000000003" customHeight="1" x14ac:dyDescent="0.3">
      <c r="A14" s="14" t="s">
        <v>24</v>
      </c>
      <c r="B14" s="4" t="s">
        <v>4</v>
      </c>
      <c r="C14" s="4" t="str">
        <f>IF(MAX(C6:C8)=C6,"M",IF(MAX(C6:C8)=C7,"S","B"))</f>
        <v>M</v>
      </c>
      <c r="D14" s="4" t="str">
        <f t="shared" ref="D14:H14" si="17">IF(MAX(D6:D8)=D6,"M",IF(MAX(D6:D8)=D7,"S","B"))</f>
        <v>S</v>
      </c>
      <c r="E14" s="4" t="str">
        <f t="shared" si="17"/>
        <v>M</v>
      </c>
      <c r="F14" s="4" t="str">
        <f t="shared" si="17"/>
        <v>M</v>
      </c>
      <c r="G14" s="4" t="str">
        <f t="shared" si="17"/>
        <v>S</v>
      </c>
      <c r="H14" s="5" t="str">
        <f t="shared" si="17"/>
        <v>M</v>
      </c>
      <c r="J14" s="1" t="s">
        <v>16</v>
      </c>
      <c r="K14" s="1">
        <f>C8*C11</f>
        <v>0.15</v>
      </c>
      <c r="L14" s="1">
        <f t="shared" ref="L14:P14" si="18">D8*D11</f>
        <v>0.36</v>
      </c>
      <c r="M14" s="1">
        <f t="shared" si="18"/>
        <v>0.24</v>
      </c>
      <c r="N14" s="1">
        <f t="shared" si="18"/>
        <v>0.06</v>
      </c>
      <c r="O14" s="1">
        <f t="shared" si="18"/>
        <v>0.15</v>
      </c>
      <c r="P14" s="1">
        <f t="shared" si="18"/>
        <v>0.06</v>
      </c>
      <c r="Q14" s="30">
        <f t="shared" si="4"/>
        <v>0.75</v>
      </c>
      <c r="R14" s="1">
        <f t="shared" si="5"/>
        <v>0.27</v>
      </c>
      <c r="S14" s="31">
        <f t="shared" si="6"/>
        <v>0.47058823529411764</v>
      </c>
    </row>
    <row r="15" spans="1:27" ht="36" customHeight="1" thickBot="1" x14ac:dyDescent="0.35">
      <c r="A15" s="15"/>
      <c r="B15" s="12" t="s">
        <v>5</v>
      </c>
      <c r="C15" s="12" t="str">
        <f>IF(MAX(C9:C11)=C9,"M",IF(MAX(C9:C11)=C10,"S","B"))</f>
        <v>S</v>
      </c>
      <c r="D15" s="12" t="str">
        <f t="shared" ref="D15:H15" si="19">IF(MAX(D9:D11)=D9,"M",IF(MAX(D9:D11)=D10,"S","B"))</f>
        <v>S</v>
      </c>
      <c r="E15" s="12" t="s">
        <v>8</v>
      </c>
      <c r="F15" s="12" t="str">
        <f t="shared" si="19"/>
        <v>S</v>
      </c>
      <c r="G15" s="12" t="str">
        <f t="shared" si="19"/>
        <v>M</v>
      </c>
      <c r="H15" s="13" t="str">
        <f t="shared" si="19"/>
        <v>M</v>
      </c>
    </row>
    <row r="16" spans="1:27" ht="43.8" thickBot="1" x14ac:dyDescent="0.35">
      <c r="A16" s="19" t="s">
        <v>23</v>
      </c>
      <c r="B16" s="16" t="s">
        <v>6</v>
      </c>
      <c r="C16" s="17">
        <v>1</v>
      </c>
      <c r="D16" s="17">
        <v>1</v>
      </c>
      <c r="E16" s="17">
        <v>1</v>
      </c>
      <c r="F16" s="17">
        <v>2</v>
      </c>
      <c r="G16" s="17">
        <v>2</v>
      </c>
      <c r="H16" s="18">
        <v>2</v>
      </c>
    </row>
    <row r="18" spans="2:13" ht="15" thickBot="1" x14ac:dyDescent="0.35">
      <c r="C18" t="s">
        <v>25</v>
      </c>
    </row>
    <row r="19" spans="2:13" x14ac:dyDescent="0.3">
      <c r="B19" s="20" t="s">
        <v>0</v>
      </c>
      <c r="C19" s="21">
        <v>0</v>
      </c>
      <c r="D19" s="21">
        <v>0.1</v>
      </c>
      <c r="E19" s="21">
        <v>0.2</v>
      </c>
      <c r="F19" s="21">
        <v>0.3</v>
      </c>
      <c r="G19" s="21">
        <v>0.4</v>
      </c>
      <c r="H19" s="21">
        <v>0.5</v>
      </c>
      <c r="I19" s="21">
        <v>0.6</v>
      </c>
      <c r="J19" s="21">
        <v>0.7</v>
      </c>
      <c r="K19" s="21">
        <v>0.8</v>
      </c>
      <c r="L19" s="21">
        <v>0.9</v>
      </c>
      <c r="M19" s="22">
        <v>1</v>
      </c>
    </row>
    <row r="20" spans="2:13" x14ac:dyDescent="0.3">
      <c r="B20" s="23" t="s">
        <v>26</v>
      </c>
      <c r="C20" s="24">
        <f>IF(AND(C19&gt;=0,C19&lt;=1),1-C19,0)</f>
        <v>1</v>
      </c>
      <c r="D20" s="24">
        <f t="shared" ref="D20:M20" si="20">IF(AND(D19&gt;=0,D19&lt;=1),1-D19,0)</f>
        <v>0.9</v>
      </c>
      <c r="E20" s="24">
        <f t="shared" si="20"/>
        <v>0.8</v>
      </c>
      <c r="F20" s="24">
        <f t="shared" si="20"/>
        <v>0.7</v>
      </c>
      <c r="G20" s="24">
        <f t="shared" si="20"/>
        <v>0.6</v>
      </c>
      <c r="H20" s="24">
        <f t="shared" si="20"/>
        <v>0.5</v>
      </c>
      <c r="I20" s="24">
        <f t="shared" si="20"/>
        <v>0.4</v>
      </c>
      <c r="J20" s="24">
        <f t="shared" si="20"/>
        <v>0.30000000000000004</v>
      </c>
      <c r="K20" s="24">
        <f t="shared" si="20"/>
        <v>0.19999999999999996</v>
      </c>
      <c r="L20" s="24">
        <f t="shared" si="20"/>
        <v>9.9999999999999978E-2</v>
      </c>
      <c r="M20" s="25">
        <f t="shared" si="20"/>
        <v>0</v>
      </c>
    </row>
    <row r="21" spans="2:13" x14ac:dyDescent="0.3">
      <c r="B21" s="23" t="s">
        <v>27</v>
      </c>
      <c r="C21" s="24">
        <f>IF(AND(C19&lt;=0.5,C19&gt;=0),(C19)/0.5,IF(AND(C19&gt;=0,C19&lt;=1),(1-C19)/0.5,0))</f>
        <v>0</v>
      </c>
      <c r="D21" s="24">
        <f t="shared" ref="D21:M21" si="21">IF(AND(D19&lt;=0.5,D19&gt;=0),(D19)/0.5,IF(AND(D19&gt;=0,D19&lt;=1),(1-D19)/0.5,0))</f>
        <v>0.2</v>
      </c>
      <c r="E21" s="24">
        <f t="shared" si="21"/>
        <v>0.4</v>
      </c>
      <c r="F21" s="24">
        <f t="shared" si="21"/>
        <v>0.6</v>
      </c>
      <c r="G21" s="24">
        <f t="shared" si="21"/>
        <v>0.8</v>
      </c>
      <c r="H21" s="24">
        <f t="shared" si="21"/>
        <v>1</v>
      </c>
      <c r="I21" s="24">
        <f t="shared" si="21"/>
        <v>0.8</v>
      </c>
      <c r="J21" s="24">
        <f t="shared" si="21"/>
        <v>0.60000000000000009</v>
      </c>
      <c r="K21" s="24">
        <f t="shared" si="21"/>
        <v>0.39999999999999991</v>
      </c>
      <c r="L21" s="24">
        <f t="shared" si="21"/>
        <v>0.19999999999999996</v>
      </c>
      <c r="M21" s="25">
        <f t="shared" si="21"/>
        <v>0</v>
      </c>
    </row>
    <row r="22" spans="2:13" ht="15" thickBot="1" x14ac:dyDescent="0.35">
      <c r="B22" s="26" t="s">
        <v>8</v>
      </c>
      <c r="C22" s="27">
        <f>IF(OR(C19&gt;1,C19&lt;=0),0,C19)</f>
        <v>0</v>
      </c>
      <c r="D22" s="27">
        <f t="shared" ref="D22:M22" si="22">IF(OR(D19&gt;1,D19&lt;=0),0,D19)</f>
        <v>0.1</v>
      </c>
      <c r="E22" s="27">
        <f t="shared" si="22"/>
        <v>0.2</v>
      </c>
      <c r="F22" s="27">
        <f t="shared" si="22"/>
        <v>0.3</v>
      </c>
      <c r="G22" s="27">
        <f t="shared" si="22"/>
        <v>0.4</v>
      </c>
      <c r="H22" s="27">
        <f t="shared" si="22"/>
        <v>0.5</v>
      </c>
      <c r="I22" s="27">
        <f t="shared" si="22"/>
        <v>0.6</v>
      </c>
      <c r="J22" s="27">
        <f t="shared" si="22"/>
        <v>0.7</v>
      </c>
      <c r="K22" s="27">
        <f t="shared" si="22"/>
        <v>0.8</v>
      </c>
      <c r="L22" s="27">
        <f t="shared" si="22"/>
        <v>0.9</v>
      </c>
      <c r="M22" s="28">
        <f t="shared" si="22"/>
        <v>1</v>
      </c>
    </row>
  </sheetData>
  <mergeCells count="5">
    <mergeCell ref="A6:A8"/>
    <mergeCell ref="A9:A11"/>
    <mergeCell ref="A12:A13"/>
    <mergeCell ref="A14:A15"/>
    <mergeCell ref="K4:P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</dc:creator>
  <cp:lastModifiedBy>Nata</cp:lastModifiedBy>
  <dcterms:created xsi:type="dcterms:W3CDTF">2025-11-29T11:10:59Z</dcterms:created>
  <dcterms:modified xsi:type="dcterms:W3CDTF">2025-12-01T15:02:12Z</dcterms:modified>
</cp:coreProperties>
</file>